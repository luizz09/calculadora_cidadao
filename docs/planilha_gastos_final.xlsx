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_h_sampaio\Downloads\calculadora\docx\"/>
    </mc:Choice>
  </mc:AlternateContent>
  <xr:revisionPtr revIDLastSave="0" documentId="13_ncr:1_{98BF6241-C472-4620-95B0-C8E1C8B56171}" xr6:coauthVersionLast="47" xr6:coauthVersionMax="47" xr10:uidLastSave="{00000000-0000-0000-0000-000000000000}"/>
  <bookViews>
    <workbookView xWindow="-105" yWindow="0" windowWidth="14610" windowHeight="15585" activeTab="1" xr2:uid="{FAA05A72-0565-42CD-8B80-0F96F8420EF9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2" l="1"/>
  <c r="J8" i="2"/>
  <c r="D8" i="2"/>
  <c r="D17" i="1"/>
  <c r="K5" i="1"/>
  <c r="J17" i="1"/>
  <c r="H17" i="1"/>
  <c r="I17" i="1"/>
  <c r="G17" i="1"/>
  <c r="F17" i="1"/>
  <c r="E17" i="1"/>
  <c r="C17" i="1"/>
  <c r="K6" i="1"/>
  <c r="K16" i="1"/>
  <c r="K15" i="1"/>
  <c r="K14" i="1"/>
  <c r="K13" i="1"/>
  <c r="K12" i="1"/>
  <c r="K10" i="1"/>
  <c r="K8" i="1"/>
  <c r="K9" i="1"/>
  <c r="K7" i="1"/>
  <c r="K11" i="1"/>
  <c r="C18" i="1" l="1"/>
  <c r="E18" i="1"/>
  <c r="L15" i="1"/>
  <c r="L14" i="1"/>
  <c r="L5" i="1"/>
  <c r="L6" i="1"/>
  <c r="L7" i="1"/>
  <c r="L9" i="1"/>
  <c r="L16" i="1"/>
  <c r="L8" i="1"/>
  <c r="L10" i="1"/>
  <c r="L11" i="1"/>
  <c r="L12" i="1"/>
  <c r="L13" i="1"/>
</calcChain>
</file>

<file path=xl/sharedStrings.xml><?xml version="1.0" encoding="utf-8"?>
<sst xmlns="http://schemas.openxmlformats.org/spreadsheetml/2006/main" count="42" uniqueCount="37">
  <si>
    <t>Previsão de Gastos Anuais</t>
  </si>
  <si>
    <t>Entradas</t>
  </si>
  <si>
    <t>Saídas</t>
  </si>
  <si>
    <t>Mês</t>
  </si>
  <si>
    <t>Sálarios</t>
  </si>
  <si>
    <t>Extras</t>
  </si>
  <si>
    <t>Água</t>
  </si>
  <si>
    <t>Luz</t>
  </si>
  <si>
    <t>Aluguel</t>
  </si>
  <si>
    <t>Internet</t>
  </si>
  <si>
    <t>Mercado</t>
  </si>
  <si>
    <t>Gastos Diversos</t>
  </si>
  <si>
    <t>Saldo Mês</t>
  </si>
  <si>
    <t>Saldo Cumulativo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</si>
  <si>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</si>
  <si>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</si>
  <si>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</si>
  <si>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</si>
  <si>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</si>
  <si>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</si>
  <si>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</si>
  <si>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</si>
  <si>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</si>
  <si>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</si>
  <si>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</si>
  <si>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</si>
  <si>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TOTAIS</t>
  </si>
  <si>
    <t>Valor futuro de capital</t>
  </si>
  <si>
    <t>Taxa de juros mensal:</t>
  </si>
  <si>
    <t>Nº De Meses:</t>
  </si>
  <si>
    <t>Capital Inicial:</t>
  </si>
  <si>
    <t>Valor final:</t>
  </si>
  <si>
    <t>Aplicação com depósitos regulares</t>
  </si>
  <si>
    <t>Nº de Meses:</t>
  </si>
  <si>
    <t>Valor do depósito regular:</t>
  </si>
  <si>
    <t>Financiamento com prestações fixas</t>
  </si>
  <si>
    <t>Valor da prestação: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</si>
</sst>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Border="1"/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4" fillId="6" borderId="2" xfId="0" applyNumberFormat="1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4" fontId="2" fillId="7" borderId="15" xfId="0" applyNumberFormat="1" applyFont="1" applyFill="1" applyBorder="1" applyAlignment="1">
      <alignment horizontal="center"/>
    </xf>
    <xf numFmtId="164" fontId="2" fillId="7" borderId="13" xfId="0" applyNumberFormat="1" applyFont="1" applyFill="1" applyBorder="1" applyAlignment="1">
      <alignment horizontal="center"/>
    </xf>
    <xf numFmtId="164" fontId="2" fillId="7" borderId="0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7" borderId="9" xfId="0" applyNumberFormat="1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horizontal="center"/>
    </xf>
    <xf numFmtId="164" fontId="4" fillId="6" borderId="5" xfId="0" applyNumberFormat="1" applyFont="1" applyFill="1" applyBorder="1" applyAlignment="1">
      <alignment horizontal="center"/>
    </xf>
    <xf numFmtId="164" fontId="4" fillId="6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24">
    <dxf>
      <font>
        <b val="0"/>
        <i val="0"/>
        <color theme="4" tint="-0.24994659260841701"/>
      </font>
    </dxf>
    <dxf>
      <font>
        <color theme="4"/>
      </font>
    </dxf>
    <dxf>
      <font>
        <strike val="0"/>
        <color theme="3"/>
      </font>
      <numFmt numFmtId="164" formatCode="&quot;R$&quot;\ #,##0.00"/>
    </dxf>
    <dxf>
      <font>
        <color rgb="FF9C0006"/>
      </font>
    </dxf>
    <dxf>
      <font>
        <b/>
        <i val="0"/>
        <color theme="4"/>
      </font>
      <numFmt numFmtId="164" formatCode="&quot;R$&quot;\ #,##0.00"/>
      <fill>
        <patternFill>
          <bgColor rgb="FFF1A983"/>
        </patternFill>
      </fill>
    </dxf>
    <dxf>
      <font>
        <color theme="4"/>
      </font>
    </dxf>
    <dxf>
      <font>
        <strike val="0"/>
        <color theme="3"/>
      </font>
      <numFmt numFmtId="164" formatCode="&quot;R$&quot;\ #,##0.00"/>
    </dxf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R$&quot;\ #,##0.0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R$&quot;\ #,##0.0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R$&quot;\ #,##0.0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R$&quot;\ #,##0.0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R$&quot;\ #,##0.0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R$&quot;\ #,##0.0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R$&quot;\ #,##0.0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R$&quot;\ #,##0.0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R$&quot;\ #,##0.0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1A9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621885-14CD-448A-89FA-36F83C3AF9CC}" name="Tabela2" displayName="Tabela2" ref="B4:L16" totalsRowShown="0" headerRowDxfId="23" dataDxfId="21" headerRowBorderDxfId="22" tableBorderDxfId="20" totalsRowBorderDxfId="19">
  <autoFilter ref="B4:L16" xr:uid="{EC621885-14CD-448A-89FA-36F83C3AF9CC}"/>
  <tableColumns count="11">
    <tableColumn id="1" xr3:uid="{0F2668C4-648B-4944-B566-4A7BF0E6BA0A}" name="Mês" dataDxfId="18"/>
    <tableColumn id="2" xr3:uid="{4F9BE6A6-1128-4FFF-9098-B35FA859F79E}" name="Sálarios" dataDxfId="17"/>
    <tableColumn id="3" xr3:uid="{6243626C-7E9B-4AC3-ACEF-50E5DD91D4DA}" name="Extras" dataDxfId="16"/>
    <tableColumn id="4" xr3:uid="{AD806676-B792-48BF-BC26-15E7CFA485F3}" name="Água" dataDxfId="15"/>
    <tableColumn id="5" xr3:uid="{089BE69A-DF3E-40DA-A9F5-CE53D5634CE6}" name="Luz" dataDxfId="14"/>
    <tableColumn id="6" xr3:uid="{B976A3F9-FE84-4A5A-8866-621F64565D49}" name="Aluguel" dataDxfId="13"/>
    <tableColumn id="7" xr3:uid="{F44C33B8-AD82-4A05-8213-BFA27A10A88E}" name="Internet" dataDxfId="12"/>
    <tableColumn id="8" xr3:uid="{0A1D045F-1012-4DED-911D-BE257D6821CB}" name="Mercado" dataDxfId="11"/>
    <tableColumn id="9" xr3:uid="{22690D46-EC8F-4B2E-9A38-5839BB6ADCC7}" name="Gastos Diversos" dataDxfId="10"/>
    <tableColumn id="10" xr3:uid="{0C8B23BD-06A1-40F7-9BF2-CDA27100F24D}" name="Saldo Mês" dataDxfId="9">
      <calculatedColumnFormula>SUM(C5:I5)</calculatedColumnFormula>
    </tableColumn>
    <tableColumn id="11" xr3:uid="{D13DCD07-8BB7-4CA7-978D-1A40A51943EB}" name="Saldo Cumulativo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BF7D-39E9-4FD5-8A34-7255B3790C65}">
  <dimension ref="A1:FV246"/>
  <sheetViews>
    <sheetView workbookViewId="0">
      <selection activeCell="C5" sqref="C5"/>
    </sheetView>
  </sheetViews>
  <sheetFormatPr defaultRowHeight="15" x14ac:dyDescent="0.25"/>
  <cols>
    <col min="2" max="2" width="9.85546875" bestFit="1" customWidth="1"/>
    <col min="3" max="3" width="13.5703125" bestFit="1" customWidth="1"/>
    <col min="4" max="4" width="12" bestFit="1" customWidth="1"/>
    <col min="5" max="5" width="11.28515625" bestFit="1" customWidth="1"/>
    <col min="6" max="7" width="13.140625" bestFit="1" customWidth="1"/>
    <col min="8" max="8" width="13.5703125" bestFit="1" customWidth="1"/>
    <col min="9" max="9" width="14.42578125" bestFit="1" customWidth="1"/>
    <col min="10" max="10" width="22.7109375" bestFit="1" customWidth="1"/>
    <col min="11" max="11" width="16.140625" bestFit="1" customWidth="1"/>
    <col min="12" max="12" width="23.5703125" bestFit="1" customWidth="1"/>
  </cols>
  <sheetData>
    <row r="1" spans="1:17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</row>
    <row r="2" spans="1:178" s="23" customFormat="1" ht="21.75" customHeight="1" x14ac:dyDescent="0.25">
      <c r="A2" s="17"/>
      <c r="B2" s="28" t="s">
        <v>0</v>
      </c>
      <c r="C2" s="29"/>
      <c r="D2" s="29"/>
      <c r="E2" s="29"/>
      <c r="F2" s="29"/>
      <c r="G2" s="29"/>
      <c r="H2" s="29"/>
      <c r="I2" s="29"/>
      <c r="J2" s="29"/>
      <c r="K2" s="28"/>
      <c r="L2" s="28"/>
      <c r="M2" s="22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</row>
    <row r="3" spans="1:178" ht="27.75" customHeight="1" x14ac:dyDescent="0.25">
      <c r="A3" s="1"/>
      <c r="B3" s="14"/>
      <c r="C3" s="41" t="s">
        <v>1</v>
      </c>
      <c r="D3" s="42"/>
      <c r="E3" s="38" t="s">
        <v>2</v>
      </c>
      <c r="F3" s="39"/>
      <c r="G3" s="39"/>
      <c r="H3" s="39"/>
      <c r="I3" s="39"/>
      <c r="J3" s="40"/>
      <c r="K3" s="15"/>
      <c r="L3" s="16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</row>
    <row r="4" spans="1:178" s="23" customFormat="1" ht="27" customHeight="1" x14ac:dyDescent="0.25">
      <c r="A4" s="17"/>
      <c r="B4" s="18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20" t="s">
        <v>12</v>
      </c>
      <c r="L4" s="21" t="s">
        <v>13</v>
      </c>
      <c r="M4" s="22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</row>
    <row r="5" spans="1:178" x14ac:dyDescent="0.25">
      <c r="A5" s="1"/>
      <c r="B5" s="6" t="s">
        <v>14</v>
      </c>
      <c r="C5" s="7">
        <v>1800</v>
      </c>
      <c r="D5" s="7">
        <v>800</v>
      </c>
      <c r="E5" s="8">
        <v>-50</v>
      </c>
      <c r="F5" s="8">
        <v>-150</v>
      </c>
      <c r="G5" s="8">
        <v>-750</v>
      </c>
      <c r="H5" s="8">
        <v>-100</v>
      </c>
      <c r="I5" s="8">
        <v>-500</v>
      </c>
      <c r="J5" s="9"/>
      <c r="K5" s="7">
        <f>SUM(C5:I5)</f>
        <v>1050</v>
      </c>
      <c r="L5" s="10">
        <f>K5</f>
        <v>1050</v>
      </c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</row>
    <row r="6" spans="1:178" x14ac:dyDescent="0.25">
      <c r="A6" s="1"/>
      <c r="B6" s="6" t="s">
        <v>15</v>
      </c>
      <c r="C6" s="7">
        <v>1800</v>
      </c>
      <c r="D6" s="7"/>
      <c r="E6" s="8">
        <v>-50</v>
      </c>
      <c r="F6" s="8">
        <v>-150</v>
      </c>
      <c r="G6" s="8">
        <v>-750</v>
      </c>
      <c r="H6" s="8">
        <v>-100</v>
      </c>
      <c r="I6" s="8">
        <v>-500</v>
      </c>
      <c r="J6" s="9"/>
      <c r="K6" s="7">
        <f>SUM(C6:I6)</f>
        <v>250</v>
      </c>
      <c r="L6" s="10">
        <f>SUM(K5:K6)</f>
        <v>1300</v>
      </c>
      <c r="M6" s="5"/>
      <c r="N6" s="1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</row>
    <row r="7" spans="1:178" x14ac:dyDescent="0.25">
      <c r="A7" s="1"/>
      <c r="B7" s="6" t="s">
        <v>16</v>
      </c>
      <c r="C7" s="7">
        <v>1800</v>
      </c>
      <c r="D7" s="7"/>
      <c r="E7" s="8">
        <v>-50</v>
      </c>
      <c r="F7" s="8">
        <v>-150</v>
      </c>
      <c r="G7" s="8">
        <v>-750</v>
      </c>
      <c r="H7" s="8">
        <v>-100</v>
      </c>
      <c r="I7" s="8">
        <v>-500</v>
      </c>
      <c r="J7" s="9"/>
      <c r="K7" s="7">
        <f>SUM(C7:I7)</f>
        <v>250</v>
      </c>
      <c r="L7" s="10">
        <f>SUM(K5:K7)</f>
        <v>1550</v>
      </c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</row>
    <row r="8" spans="1:178" x14ac:dyDescent="0.25">
      <c r="A8" s="1"/>
      <c r="B8" s="6" t="s">
        <v>17</v>
      </c>
      <c r="C8" s="7">
        <v>1800</v>
      </c>
      <c r="D8" s="7"/>
      <c r="E8" s="8">
        <v>-50</v>
      </c>
      <c r="F8" s="8">
        <v>-150</v>
      </c>
      <c r="G8" s="8">
        <v>-750</v>
      </c>
      <c r="H8" s="8">
        <v>-100</v>
      </c>
      <c r="I8" s="8">
        <v>-500</v>
      </c>
      <c r="J8" s="9"/>
      <c r="K8" s="7">
        <f>SUM(C8:I8)</f>
        <v>250</v>
      </c>
      <c r="L8" s="10">
        <f>SUM(K5:K8)</f>
        <v>1800</v>
      </c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</row>
    <row r="9" spans="1:178" x14ac:dyDescent="0.25">
      <c r="A9" s="1"/>
      <c r="B9" s="6" t="s">
        <v>18</v>
      </c>
      <c r="C9" s="7">
        <v>1800</v>
      </c>
      <c r="D9" s="7"/>
      <c r="E9" s="8">
        <v>-50</v>
      </c>
      <c r="F9" s="8">
        <v>-150</v>
      </c>
      <c r="G9" s="8">
        <v>-750</v>
      </c>
      <c r="H9" s="8">
        <v>-100</v>
      </c>
      <c r="I9" s="8">
        <v>-500</v>
      </c>
      <c r="J9" s="8">
        <v>-1500</v>
      </c>
      <c r="K9" s="7">
        <f>SUM(C9:J9)</f>
        <v>-1250</v>
      </c>
      <c r="L9" s="10">
        <f>SUM(K5:K9)</f>
        <v>550</v>
      </c>
      <c r="M9" s="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 spans="1:178" x14ac:dyDescent="0.25">
      <c r="A10" s="1"/>
      <c r="B10" s="6" t="s">
        <v>19</v>
      </c>
      <c r="C10" s="7">
        <v>1800</v>
      </c>
      <c r="D10" s="7"/>
      <c r="E10" s="8">
        <v>-50</v>
      </c>
      <c r="F10" s="8">
        <v>-150</v>
      </c>
      <c r="G10" s="8">
        <v>-750</v>
      </c>
      <c r="H10" s="8">
        <v>-100</v>
      </c>
      <c r="I10" s="8">
        <v>-500</v>
      </c>
      <c r="J10" s="9"/>
      <c r="K10" s="7">
        <f t="shared" ref="K10:K16" si="0">SUM(C10:I10)</f>
        <v>250</v>
      </c>
      <c r="L10" s="10">
        <f>SUM(K5:K10)</f>
        <v>800</v>
      </c>
      <c r="M10" s="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</row>
    <row r="11" spans="1:178" x14ac:dyDescent="0.25">
      <c r="A11" s="1"/>
      <c r="B11" s="6" t="s">
        <v>20</v>
      </c>
      <c r="C11" s="7">
        <v>1800</v>
      </c>
      <c r="D11" s="7"/>
      <c r="E11" s="8">
        <v>-50</v>
      </c>
      <c r="F11" s="8">
        <v>-150</v>
      </c>
      <c r="G11" s="8">
        <v>-750</v>
      </c>
      <c r="H11" s="8">
        <v>-100</v>
      </c>
      <c r="I11" s="8">
        <v>-500</v>
      </c>
      <c r="J11" s="9"/>
      <c r="K11" s="7">
        <f t="shared" si="0"/>
        <v>250</v>
      </c>
      <c r="L11" s="10">
        <f>SUM(K5:K11)</f>
        <v>1050</v>
      </c>
      <c r="M11" s="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</row>
    <row r="12" spans="1:178" x14ac:dyDescent="0.25">
      <c r="A12" s="1"/>
      <c r="B12" s="6" t="s">
        <v>21</v>
      </c>
      <c r="C12" s="7">
        <v>1800</v>
      </c>
      <c r="D12" s="7"/>
      <c r="E12" s="8">
        <v>-50</v>
      </c>
      <c r="F12" s="8">
        <v>-150</v>
      </c>
      <c r="G12" s="8">
        <v>-750</v>
      </c>
      <c r="H12" s="8">
        <v>-100</v>
      </c>
      <c r="I12" s="8">
        <v>-500</v>
      </c>
      <c r="J12" s="9"/>
      <c r="K12" s="7">
        <f t="shared" si="0"/>
        <v>250</v>
      </c>
      <c r="L12" s="10">
        <f>SUM(K5:K12)</f>
        <v>1300</v>
      </c>
      <c r="M12" s="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</row>
    <row r="13" spans="1:178" x14ac:dyDescent="0.25">
      <c r="A13" s="1"/>
      <c r="B13" s="6" t="s">
        <v>22</v>
      </c>
      <c r="C13" s="7">
        <v>1800</v>
      </c>
      <c r="D13" s="7"/>
      <c r="E13" s="8">
        <v>-50</v>
      </c>
      <c r="F13" s="8">
        <v>-150</v>
      </c>
      <c r="G13" s="8">
        <v>-750</v>
      </c>
      <c r="H13" s="8">
        <v>-100</v>
      </c>
      <c r="I13" s="8">
        <v>-500</v>
      </c>
      <c r="J13" s="9"/>
      <c r="K13" s="7">
        <f t="shared" si="0"/>
        <v>250</v>
      </c>
      <c r="L13" s="10">
        <f>SUM(K5:K13)</f>
        <v>1550</v>
      </c>
      <c r="M13" s="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</row>
    <row r="14" spans="1:178" x14ac:dyDescent="0.25">
      <c r="A14" s="1"/>
      <c r="B14" s="6" t="s">
        <v>23</v>
      </c>
      <c r="C14" s="7">
        <v>1800</v>
      </c>
      <c r="D14" s="7"/>
      <c r="E14" s="8">
        <v>-50</v>
      </c>
      <c r="F14" s="8">
        <v>-150</v>
      </c>
      <c r="G14" s="8">
        <v>-750</v>
      </c>
      <c r="H14" s="8">
        <v>-100</v>
      </c>
      <c r="I14" s="8">
        <v>-500</v>
      </c>
      <c r="J14" s="9"/>
      <c r="K14" s="7">
        <f t="shared" si="0"/>
        <v>250</v>
      </c>
      <c r="L14" s="10">
        <f>SUM(K5:K14)</f>
        <v>1800</v>
      </c>
      <c r="M14" s="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</row>
    <row r="15" spans="1:178" x14ac:dyDescent="0.25">
      <c r="A15" s="1"/>
      <c r="B15" s="6" t="s">
        <v>24</v>
      </c>
      <c r="C15" s="7">
        <v>1800</v>
      </c>
      <c r="D15" s="7"/>
      <c r="E15" s="8">
        <v>-50</v>
      </c>
      <c r="F15" s="8">
        <v>-150</v>
      </c>
      <c r="G15" s="8">
        <v>-750</v>
      </c>
      <c r="H15" s="8">
        <v>-100</v>
      </c>
      <c r="I15" s="8">
        <v>-500</v>
      </c>
      <c r="J15" s="9"/>
      <c r="K15" s="7">
        <f t="shared" si="0"/>
        <v>250</v>
      </c>
      <c r="L15" s="10">
        <f>SUM(K5:K15)</f>
        <v>2050</v>
      </c>
      <c r="M15" s="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</row>
    <row r="16" spans="1:178" x14ac:dyDescent="0.25">
      <c r="A16" s="1"/>
      <c r="B16" s="4" t="s">
        <v>25</v>
      </c>
      <c r="C16" s="7">
        <v>1800</v>
      </c>
      <c r="D16" s="7"/>
      <c r="E16" s="11">
        <v>-50</v>
      </c>
      <c r="F16" s="11">
        <v>-150</v>
      </c>
      <c r="G16" s="11">
        <v>-750</v>
      </c>
      <c r="H16" s="11">
        <v>-100</v>
      </c>
      <c r="I16" s="11">
        <v>-500</v>
      </c>
      <c r="J16" s="12"/>
      <c r="K16" s="7">
        <f t="shared" si="0"/>
        <v>250</v>
      </c>
      <c r="L16" s="10">
        <f>SUM(K5:K16)</f>
        <v>2300</v>
      </c>
      <c r="M16" s="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</row>
    <row r="17" spans="1:178" x14ac:dyDescent="0.25">
      <c r="A17" s="1"/>
      <c r="B17" s="43" t="s">
        <v>26</v>
      </c>
      <c r="C17" s="13">
        <f>SUM(C5:C16)</f>
        <v>21600</v>
      </c>
      <c r="D17" s="13">
        <f>D5</f>
        <v>800</v>
      </c>
      <c r="E17" s="13">
        <f>SUM(E5:E16)</f>
        <v>-600</v>
      </c>
      <c r="F17" s="13">
        <f>SUM(F5:F16)</f>
        <v>-1800</v>
      </c>
      <c r="G17" s="13">
        <f>SUM(G5:G16)</f>
        <v>-9000</v>
      </c>
      <c r="H17" s="13">
        <f t="shared" ref="H17:I17" si="1">SUM(H5:H16)</f>
        <v>-1200</v>
      </c>
      <c r="I17" s="13">
        <f t="shared" si="1"/>
        <v>-6000</v>
      </c>
      <c r="J17" s="13">
        <f t="shared" ref="J17" si="2">SUM(J5:J16)</f>
        <v>-1500</v>
      </c>
      <c r="K17" s="30"/>
      <c r="L17" s="31"/>
      <c r="M17" s="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</row>
    <row r="18" spans="1:178" x14ac:dyDescent="0.25">
      <c r="A18" s="1"/>
      <c r="B18" s="44"/>
      <c r="C18" s="45">
        <f>D17+C17</f>
        <v>22400</v>
      </c>
      <c r="D18" s="46"/>
      <c r="E18" s="45">
        <f>SUM(E17:J17)</f>
        <v>-20100</v>
      </c>
      <c r="F18" s="47"/>
      <c r="G18" s="47"/>
      <c r="H18" s="47"/>
      <c r="I18" s="47"/>
      <c r="J18" s="46"/>
      <c r="K18" s="32"/>
      <c r="L18" s="33"/>
      <c r="M18" s="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</row>
    <row r="19" spans="1:178" x14ac:dyDescent="0.25">
      <c r="A19" s="1"/>
      <c r="B19" s="36"/>
      <c r="C19" s="37"/>
      <c r="D19" s="37"/>
      <c r="E19" s="37"/>
      <c r="F19" s="37"/>
      <c r="G19" s="37"/>
      <c r="H19" s="37"/>
      <c r="I19" s="37"/>
      <c r="J19" s="37"/>
      <c r="K19" s="34"/>
      <c r="L19" s="35"/>
      <c r="M19" s="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 spans="1:17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3"/>
      <c r="L20" s="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</row>
    <row r="21" spans="1:17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</row>
    <row r="22" spans="1:17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</row>
    <row r="23" spans="1:17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</row>
    <row r="24" spans="1:17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</row>
    <row r="25" spans="1:178" x14ac:dyDescent="0.25">
      <c r="A25" s="1"/>
      <c r="B25" s="1"/>
      <c r="C25" s="1"/>
      <c r="D25" s="1"/>
      <c r="E25" s="1"/>
      <c r="F25" s="1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1:17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 spans="1:17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1:17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1:17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 spans="1:17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1:17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1:17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1:17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1:17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1:17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</row>
    <row r="36" spans="1:17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1:17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 spans="1:17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1:17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1:17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</row>
    <row r="41" spans="1:17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</row>
    <row r="42" spans="1:17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 spans="1:17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</row>
    <row r="44" spans="1:17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</row>
    <row r="45" spans="1:17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</row>
    <row r="46" spans="1:17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</row>
    <row r="47" spans="1:17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</row>
    <row r="48" spans="1:17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 spans="1:17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</row>
    <row r="50" spans="1:17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</row>
    <row r="51" spans="1:17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2" spans="1:17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</row>
    <row r="53" spans="1:17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</row>
    <row r="54" spans="1:17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</row>
    <row r="55" spans="1:17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</row>
    <row r="56" spans="1:17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</row>
    <row r="57" spans="1:17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</row>
    <row r="58" spans="1:17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</row>
    <row r="59" spans="1:17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</row>
    <row r="60" spans="1:17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</row>
    <row r="61" spans="1:17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</row>
    <row r="62" spans="1:17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</row>
    <row r="63" spans="1:17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</row>
    <row r="64" spans="1:17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</row>
    <row r="65" spans="1:17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</row>
    <row r="66" spans="1:17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</row>
    <row r="67" spans="1:17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</row>
    <row r="68" spans="1:17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</row>
    <row r="69" spans="1:17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</row>
    <row r="70" spans="1:17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</row>
    <row r="71" spans="1:17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</row>
    <row r="72" spans="1:17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</row>
    <row r="73" spans="1:17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</row>
    <row r="74" spans="1:17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</row>
    <row r="75" spans="1:17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</row>
    <row r="76" spans="1:17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</row>
    <row r="77" spans="1:17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</row>
    <row r="78" spans="1:17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</row>
    <row r="79" spans="1:17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</row>
    <row r="80" spans="1:17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</row>
    <row r="81" spans="1:17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</row>
    <row r="82" spans="1:17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</row>
    <row r="83" spans="1:17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</row>
    <row r="84" spans="1:17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</row>
    <row r="85" spans="1:17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</row>
    <row r="86" spans="1:17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</row>
    <row r="87" spans="1:17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</row>
    <row r="88" spans="1:17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</row>
    <row r="89" spans="1:17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</row>
    <row r="90" spans="1:17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</row>
    <row r="91" spans="1:17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</row>
    <row r="92" spans="1:17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</row>
    <row r="93" spans="1:17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</row>
    <row r="94" spans="1:17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</row>
    <row r="95" spans="1:17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</row>
    <row r="96" spans="1:17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</row>
    <row r="97" spans="1:17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</row>
    <row r="98" spans="1:17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</row>
    <row r="99" spans="1:17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</row>
    <row r="100" spans="1:17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</row>
    <row r="101" spans="1:17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</row>
    <row r="102" spans="1:17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</row>
    <row r="103" spans="1:17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</row>
    <row r="104" spans="1:17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</row>
    <row r="105" spans="1:17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</row>
    <row r="106" spans="1:17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</row>
    <row r="107" spans="1:17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</row>
    <row r="108" spans="1:17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</row>
    <row r="109" spans="1:17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</row>
    <row r="110" spans="1:17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</row>
    <row r="111" spans="1:17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</row>
    <row r="112" spans="1:17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</row>
    <row r="113" spans="1:17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</row>
    <row r="114" spans="1:17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</row>
    <row r="115" spans="1:17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</row>
    <row r="116" spans="1:17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</row>
    <row r="117" spans="1:17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</row>
    <row r="118" spans="1:17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</row>
    <row r="119" spans="1:17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</row>
    <row r="120" spans="1:17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</row>
    <row r="121" spans="1:17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</row>
    <row r="122" spans="1:17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</row>
    <row r="123" spans="1:17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</row>
    <row r="124" spans="1:17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</row>
    <row r="125" spans="1:17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</row>
    <row r="126" spans="1:17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</row>
    <row r="127" spans="1:17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</row>
    <row r="128" spans="1:17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</row>
    <row r="129" spans="1:17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</row>
    <row r="130" spans="1:17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</row>
    <row r="131" spans="1:17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</row>
    <row r="132" spans="1:17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</row>
    <row r="133" spans="1:17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</row>
    <row r="134" spans="1:17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</row>
    <row r="135" spans="1:17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</row>
    <row r="136" spans="1:17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</row>
    <row r="137" spans="1:17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</row>
    <row r="138" spans="1:17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</row>
    <row r="139" spans="1:17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</row>
    <row r="140" spans="1:17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</row>
    <row r="141" spans="1:17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</row>
    <row r="142" spans="1:17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</row>
    <row r="143" spans="1:17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</row>
    <row r="144" spans="1:17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</row>
    <row r="145" spans="1:17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</row>
    <row r="146" spans="1:17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</row>
    <row r="147" spans="1:17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</row>
    <row r="148" spans="1:17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</row>
    <row r="149" spans="1:17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</row>
    <row r="150" spans="1:17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</row>
    <row r="151" spans="1:17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</row>
    <row r="152" spans="1:17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</row>
    <row r="153" spans="1:17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</row>
    <row r="154" spans="1:17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</row>
    <row r="155" spans="1:17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</row>
    <row r="156" spans="1:17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</row>
    <row r="157" spans="1:17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</row>
    <row r="158" spans="1:17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</row>
    <row r="159" spans="1:17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</row>
    <row r="160" spans="1:17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</row>
    <row r="161" spans="1:17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</row>
    <row r="162" spans="1:17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</row>
    <row r="163" spans="1:17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</row>
    <row r="164" spans="1:17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</row>
    <row r="165" spans="1:17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</row>
    <row r="166" spans="1:17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</row>
    <row r="167" spans="1:17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</row>
    <row r="168" spans="1:17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</row>
    <row r="169" spans="1:17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</row>
    <row r="170" spans="1:17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</row>
    <row r="171" spans="1:17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</row>
    <row r="172" spans="1:17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</row>
    <row r="173" spans="1:17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</row>
    <row r="174" spans="1:17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</row>
    <row r="175" spans="1:17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</row>
    <row r="176" spans="1:17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</row>
    <row r="177" spans="1:17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</row>
    <row r="178" spans="1:17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</row>
    <row r="179" spans="1:17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</row>
    <row r="180" spans="1:17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</row>
    <row r="181" spans="1:17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</row>
    <row r="182" spans="1:17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</row>
    <row r="183" spans="1:17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</row>
    <row r="184" spans="1:17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</row>
    <row r="185" spans="1:17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</row>
    <row r="186" spans="1:17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</row>
    <row r="187" spans="1:17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</row>
    <row r="188" spans="1:17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</row>
    <row r="189" spans="1:17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</row>
    <row r="190" spans="1:17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</row>
    <row r="191" spans="1:17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</row>
    <row r="192" spans="1:17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</row>
    <row r="193" spans="1:17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</row>
    <row r="194" spans="1:17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</row>
    <row r="195" spans="1:17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</row>
    <row r="196" spans="1:17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</row>
    <row r="197" spans="1:17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</row>
    <row r="198" spans="1:17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</row>
    <row r="199" spans="1:17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</row>
    <row r="200" spans="1:17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</row>
    <row r="201" spans="1:17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</row>
    <row r="202" spans="1:17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</row>
    <row r="203" spans="1:17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</row>
    <row r="204" spans="1:17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</row>
    <row r="205" spans="1:17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</row>
    <row r="206" spans="1:17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</row>
    <row r="207" spans="1:17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</row>
    <row r="208" spans="1:17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</row>
    <row r="209" spans="1:17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</row>
    <row r="210" spans="1:17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</row>
    <row r="211" spans="1:17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</row>
    <row r="212" spans="1:17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</row>
    <row r="213" spans="1:17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</row>
    <row r="214" spans="1:17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</row>
    <row r="215" spans="1:17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</row>
    <row r="216" spans="1:17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</row>
    <row r="217" spans="1:17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</row>
    <row r="218" spans="1:17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</row>
    <row r="219" spans="1:17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</row>
    <row r="220" spans="1:17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</row>
    <row r="221" spans="1:17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</row>
    <row r="222" spans="1:17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</row>
    <row r="223" spans="1:17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</row>
    <row r="224" spans="1:17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</row>
    <row r="225" spans="1:17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</row>
    <row r="226" spans="1:17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</row>
    <row r="227" spans="1:17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</row>
    <row r="228" spans="1:17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</row>
    <row r="229" spans="1:17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</row>
    <row r="230" spans="1:17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</row>
    <row r="231" spans="1:17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</row>
    <row r="232" spans="1:17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</row>
    <row r="233" spans="1:17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</row>
    <row r="234" spans="1:17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</row>
    <row r="235" spans="1:17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</row>
    <row r="236" spans="1:17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</row>
    <row r="237" spans="1:17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</row>
    <row r="238" spans="1:17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</row>
    <row r="239" spans="1:17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</row>
    <row r="240" spans="1:17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</row>
    <row r="241" spans="1:17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</row>
    <row r="242" spans="1:17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</row>
    <row r="243" spans="1:17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</row>
    <row r="244" spans="1:17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</row>
    <row r="245" spans="1:17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</row>
    <row r="246" spans="1:17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</row>
  </sheetData>
  <mergeCells count="8">
    <mergeCell ref="B2:L2"/>
    <mergeCell ref="K17:L19"/>
    <mergeCell ref="B19:J19"/>
    <mergeCell ref="E3:J3"/>
    <mergeCell ref="C3:D3"/>
    <mergeCell ref="B17:B18"/>
    <mergeCell ref="C18:D18"/>
    <mergeCell ref="E18:J18"/>
  </mergeCells>
  <phoneticPr fontId="1" type="noConversion"/>
  <conditionalFormatting sqref="B2:L2 B3:C3 K3:L3">
    <cfRule type="cellIs" dxfId="7" priority="6" operator="lessThan">
      <formula>0</formula>
    </cfRule>
  </conditionalFormatting>
  <conditionalFormatting sqref="C5">
    <cfRule type="cellIs" dxfId="6" priority="3" operator="greaterThan">
      <formula>1050</formula>
    </cfRule>
  </conditionalFormatting>
  <conditionalFormatting sqref="C5:D16">
    <cfRule type="cellIs" dxfId="5" priority="2" operator="greaterThan">
      <formula>0</formula>
    </cfRule>
  </conditionalFormatting>
  <conditionalFormatting sqref="C17:D18">
    <cfRule type="cellIs" dxfId="4" priority="1" operator="greaterThan">
      <formula>0</formula>
    </cfRule>
  </conditionalFormatting>
  <conditionalFormatting sqref="E3 B4:L19">
    <cfRule type="cellIs" dxfId="3" priority="8" operator="lessThan">
      <formula>0</formula>
    </cfRule>
  </conditionalFormatting>
  <conditionalFormatting sqref="K5">
    <cfRule type="cellIs" dxfId="2" priority="5" operator="greaterThan">
      <formula>1050</formula>
    </cfRule>
  </conditionalFormatting>
  <conditionalFormatting sqref="K5:L16">
    <cfRule type="cellIs" dxfId="1" priority="4" operator="greaterThan">
      <formula>0</formula>
    </cfRule>
  </conditionalFormatting>
  <conditionalFormatting sqref="R16">
    <cfRule type="cellIs" dxfId="0" priority="7" operator="greaterThan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D17" formula="1"/>
    <ignoredError sqref="K9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F000-85EB-4178-AC21-693F1FA2D17E}">
  <dimension ref="C3:J12"/>
  <sheetViews>
    <sheetView tabSelected="1" topLeftCell="F1" zoomScale="115" zoomScaleNormal="115" workbookViewId="0">
      <selection activeCell="J8" sqref="J8"/>
    </sheetView>
  </sheetViews>
  <sheetFormatPr defaultRowHeight="14.25" x14ac:dyDescent="0.2"/>
  <cols>
    <col min="1" max="2" width="9.140625" style="5"/>
    <col min="3" max="3" width="24.140625" style="5" bestFit="1" customWidth="1"/>
    <col min="4" max="4" width="11.5703125" style="5" bestFit="1" customWidth="1"/>
    <col min="5" max="5" width="9.140625" style="5"/>
    <col min="6" max="6" width="37.7109375" style="5" bestFit="1" customWidth="1"/>
    <col min="7" max="7" width="14.28515625" style="5" bestFit="1" customWidth="1"/>
    <col min="8" max="8" width="9.140625" style="5"/>
    <col min="9" max="9" width="36.140625" style="5" bestFit="1" customWidth="1"/>
    <col min="10" max="10" width="13.7109375" style="5" bestFit="1" customWidth="1"/>
    <col min="11" max="14" width="9.140625" style="5" customWidth="1"/>
    <col min="15" max="16384" width="9.140625" style="5"/>
  </cols>
  <sheetData>
    <row r="3" spans="3:10" x14ac:dyDescent="0.2">
      <c r="C3" s="24" t="s">
        <v>27</v>
      </c>
      <c r="D3" s="9"/>
      <c r="F3" s="24" t="s">
        <v>32</v>
      </c>
      <c r="G3" s="9"/>
      <c r="I3" s="24" t="s">
        <v>35</v>
      </c>
      <c r="J3" s="9"/>
    </row>
    <row r="4" spans="3:10" x14ac:dyDescent="0.2">
      <c r="C4" s="9"/>
      <c r="D4" s="9"/>
      <c r="F4" s="9"/>
      <c r="G4" s="9"/>
      <c r="I4" s="9"/>
      <c r="J4" s="9"/>
    </row>
    <row r="5" spans="3:10" x14ac:dyDescent="0.2">
      <c r="C5" s="9" t="s">
        <v>29</v>
      </c>
      <c r="D5" s="9"/>
      <c r="F5" s="9" t="s">
        <v>33</v>
      </c>
      <c r="G5" s="9"/>
      <c r="I5" s="27" t="s">
        <v>33</v>
      </c>
      <c r="J5" s="9"/>
    </row>
    <row r="6" spans="3:10" x14ac:dyDescent="0.2">
      <c r="C6" s="9">
        <v>12</v>
      </c>
      <c r="D6" s="9"/>
      <c r="F6" s="9">
        <v>12</v>
      </c>
      <c r="G6" s="9"/>
      <c r="I6" s="9">
        <v>12</v>
      </c>
      <c r="J6" s="9"/>
    </row>
    <row r="7" spans="3:10" ht="15" x14ac:dyDescent="0.25">
      <c r="C7" s="9"/>
      <c r="D7" s="25" t="s">
        <v>31</v>
      </c>
      <c r="F7" s="9"/>
      <c r="G7" s="25" t="s">
        <v>31</v>
      </c>
      <c r="I7" s="9"/>
      <c r="J7" s="24" t="s">
        <v>31</v>
      </c>
    </row>
    <row r="8" spans="3:10" x14ac:dyDescent="0.2">
      <c r="C8" s="9" t="s">
        <v>28</v>
      </c>
      <c r="D8" s="26">
        <f>(1+(C9 / 100))^C6*C12</f>
        <v>1902.3626918438179</v>
      </c>
      <c r="F8" s="9" t="s">
        <v>28</v>
      </c>
      <c r="G8" s="26">
        <f xml:space="preserve"> (1 + (F9/100)) * (((1 + (F9/100))^F6 - 1) / (F9/100)) * F12</f>
        <v>6840.1657613449042</v>
      </c>
      <c r="I8" s="9" t="s">
        <v>28</v>
      </c>
      <c r="J8" s="26">
        <f xml:space="preserve"> (1 - (1+(I9 / 100))^-I6) / (I9 / 100) * I12</f>
        <v>3097.1871127275458</v>
      </c>
    </row>
    <row r="9" spans="3:10" x14ac:dyDescent="0.2">
      <c r="C9" s="9">
        <v>2</v>
      </c>
      <c r="D9" s="9"/>
      <c r="F9" s="9">
        <v>2</v>
      </c>
      <c r="G9" s="9"/>
      <c r="I9" s="9">
        <v>12</v>
      </c>
      <c r="J9" s="9"/>
    </row>
    <row r="10" spans="3:10" x14ac:dyDescent="0.2">
      <c r="C10" s="9"/>
      <c r="D10" s="9"/>
      <c r="F10" s="9"/>
      <c r="G10" s="9"/>
      <c r="I10" s="9"/>
      <c r="J10" s="9"/>
    </row>
    <row r="11" spans="3:10" x14ac:dyDescent="0.2">
      <c r="C11" s="9" t="s">
        <v>30</v>
      </c>
      <c r="D11" s="9"/>
      <c r="F11" s="9" t="s">
        <v>34</v>
      </c>
      <c r="G11" s="9"/>
      <c r="I11" s="9" t="s">
        <v>36</v>
      </c>
      <c r="J11" s="9"/>
    </row>
    <row r="12" spans="3:10" x14ac:dyDescent="0.2">
      <c r="C12" s="9">
        <v>1500</v>
      </c>
      <c r="D12" s="9"/>
      <c r="F12" s="9">
        <v>500</v>
      </c>
      <c r="G12" s="9"/>
      <c r="I12" s="9">
        <v>500</v>
      </c>
      <c r="J12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DE ASSIS SAMPAIO</dc:creator>
  <cp:lastModifiedBy>LUIZ HENRIQUE DE ASSIS SAMPAIO</cp:lastModifiedBy>
  <dcterms:created xsi:type="dcterms:W3CDTF">2025-10-17T17:15:53Z</dcterms:created>
  <dcterms:modified xsi:type="dcterms:W3CDTF">2025-10-31T18:43:51Z</dcterms:modified>
</cp:coreProperties>
</file>